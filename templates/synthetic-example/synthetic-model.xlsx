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uentes" sheetId="1" state="visible" r:id="rId3"/>
    <sheet name="Historicos" sheetId="2" state="visible" r:id="rId4"/>
    <sheet name="Ajustes" sheetId="3" state="visible" r:id="rId5"/>
    <sheet name="Supuestos" sheetId="4" state="visible" r:id="rId6"/>
    <sheet name="Proyecciones" sheetId="5" state="visible" r:id="rId7"/>
    <sheet name="Valuacion" sheetId="6" state="visible" r:id="rId8"/>
    <sheet name="Sensibilidades" sheetId="7" state="visible" r:id="rId9"/>
    <sheet name="Control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<sst xmlns="http://schemas.openxmlformats.org/spreadsheetml/2006/main" count="148" uniqueCount="106">
  <si>
    <t xml:space="preserve">SINTÉTICO — NO ES UNA INVERSIÓN</t>
  </si>
  <si>
    <t xml:space="preserve">source_id</t>
  </si>
  <si>
    <t xml:space="preserve">url</t>
  </si>
  <si>
    <t xml:space="preserve">title</t>
  </si>
  <si>
    <t xml:space="preserve">published_on</t>
  </si>
  <si>
    <t xml:space="preserve">retrieved_on</t>
  </si>
  <si>
    <t xml:space="preserve">sha256</t>
  </si>
  <si>
    <t xml:space="preserve">locator</t>
  </si>
  <si>
    <t xml:space="preserve">synthetic-annual</t>
  </si>
  <si>
    <t xml:space="preserve">synthetic://ares/annual/2024</t>
  </si>
  <si>
    <t xml:space="preserve">Synthetic annual fixture</t>
  </si>
  <si>
    <t xml:space="preserve">2025-02-01</t>
  </si>
  <si>
    <t xml:space="preserve">2025-03-01</t>
  </si>
  <si>
    <t xml:space="preserve">039a89b8667235cad37c28559d72a824fb4a9e901aafa2d62e6fb054a282f89e</t>
  </si>
  <si>
    <t xml:space="preserve">page 1</t>
  </si>
  <si>
    <t xml:space="preserve">synthetic-history</t>
  </si>
  <si>
    <t xml:space="preserve">synthetic://ares/history</t>
  </si>
  <si>
    <t xml:space="preserve">Synthetic historical fixture</t>
  </si>
  <si>
    <t xml:space="preserve">e33af9f583fd4a8894b4ace43b6153cbae733b4d269ecc589ceed2c8479e19ad</t>
  </si>
  <si>
    <t xml:space="preserve">rows</t>
  </si>
  <si>
    <t xml:space="preserve">year</t>
  </si>
  <si>
    <t xml:space="preserve">revenue</t>
  </si>
  <si>
    <t xml:space="preserve">ebit</t>
  </si>
  <si>
    <t xml:space="preserve">net_income</t>
  </si>
  <si>
    <t xml:space="preserve">cfo</t>
  </si>
  <si>
    <t xml:space="preserve">capex</t>
  </si>
  <si>
    <t xml:space="preserve">assets</t>
  </si>
  <si>
    <t xml:space="preserve">liabilities</t>
  </si>
  <si>
    <t xml:space="preserve">equity</t>
  </si>
  <si>
    <t xml:space="preserve">Concepto</t>
  </si>
  <si>
    <t xml:space="preserve">Reportado</t>
  </si>
  <si>
    <t xml:space="preserve">Ajuste</t>
  </si>
  <si>
    <t xml:space="preserve">Normalizado</t>
  </si>
  <si>
    <t xml:space="preserve">Motivo</t>
  </si>
  <si>
    <t xml:space="preserve">Fuente</t>
  </si>
  <si>
    <t xml:space="preserve">Ingresos último año</t>
  </si>
  <si>
    <t xml:space="preserve">Sin ajustes; documentar cada ajuste real</t>
  </si>
  <si>
    <t xml:space="preserve">Escenario</t>
  </si>
  <si>
    <t xml:space="preserve">Margen EBIT</t>
  </si>
  <si>
    <t xml:space="preserve">Impuesto</t>
  </si>
  <si>
    <t xml:space="preserve">D&amp;A/ventas</t>
  </si>
  <si>
    <t xml:space="preserve">Capex/ventas</t>
  </si>
  <si>
    <t xml:space="preserve">CT/ventas</t>
  </si>
  <si>
    <t xml:space="preserve">WACC</t>
  </si>
  <si>
    <t xml:space="preserve">g terminal</t>
  </si>
  <si>
    <t xml:space="preserve">ROIC terminal</t>
  </si>
  <si>
    <t xml:space="preserve">Narrativa</t>
  </si>
  <si>
    <t xml:space="preserve">Crecimiento año 1</t>
  </si>
  <si>
    <t xml:space="preserve">Crecimiento año 2</t>
  </si>
  <si>
    <t xml:space="preserve">Crecimiento año 3</t>
  </si>
  <si>
    <t xml:space="preserve">Crecimiento año 4</t>
  </si>
  <si>
    <t xml:space="preserve">Crecimiento año 5</t>
  </si>
  <si>
    <t xml:space="preserve">adverso</t>
  </si>
  <si>
    <t xml:space="preserve">Pérdida de volumen y presión competitiva reducen márgenes; recuperación lenta.</t>
  </si>
  <si>
    <t xml:space="preserve">base</t>
  </si>
  <si>
    <t xml:space="preserve">Crecimiento de volumen moderado y precios estables; reinversión disciplinada.</t>
  </si>
  <si>
    <t xml:space="preserve">favorable</t>
  </si>
  <si>
    <t xml:space="preserve">Mayor utilización de capacidad y expansión de segmento elevan rentabilidad.</t>
  </si>
  <si>
    <t xml:space="preserve">Moneda</t>
  </si>
  <si>
    <t xml:space="preserve">USD</t>
  </si>
  <si>
    <t xml:space="preserve">Base flujos</t>
  </si>
  <si>
    <t xml:space="preserve">nominal</t>
  </si>
  <si>
    <t xml:space="preserve">Base tasas</t>
  </si>
  <si>
    <t xml:space="preserve">Ingresos iniciales</t>
  </si>
  <si>
    <t xml:space="preserve">Deuda</t>
  </si>
  <si>
    <t xml:space="preserve">Caja</t>
  </si>
  <si>
    <t xml:space="preserve">Activos no operativos</t>
  </si>
  <si>
    <t xml:space="preserve">Minorías</t>
  </si>
  <si>
    <t xml:space="preserve">Acciones diluidas</t>
  </si>
  <si>
    <t xml:space="preserve">Acciones/instrumento</t>
  </si>
  <si>
    <t xml:space="preserve">Pasivos arrendamientos</t>
  </si>
  <si>
    <t xml:space="preserve">Tratamiento leases</t>
  </si>
  <si>
    <t xml:space="preserve">operating_in_cashflows</t>
  </si>
  <si>
    <t xml:space="preserve">Año</t>
  </si>
  <si>
    <t xml:space="preserve">Ingresos</t>
  </si>
  <si>
    <t xml:space="preserve">EBIT</t>
  </si>
  <si>
    <t xml:space="preserve">NOPAT</t>
  </si>
  <si>
    <t xml:space="preserve">D&amp;A</t>
  </si>
  <si>
    <t xml:space="preserve">Capex</t>
  </si>
  <si>
    <t xml:space="preserve">Delta CT</t>
  </si>
  <si>
    <t xml:space="preserve">FCFF</t>
  </si>
  <si>
    <t xml:space="preserve">VP</t>
  </si>
  <si>
    <t xml:space="preserve">FCFF terminal</t>
  </si>
  <si>
    <t xml:space="preserve">Valor terminal</t>
  </si>
  <si>
    <t xml:space="preserve">VP terminal</t>
  </si>
  <si>
    <t xml:space="preserve">EV</t>
  </si>
  <si>
    <t xml:space="preserve">Equity</t>
  </si>
  <si>
    <t xml:space="preserve">Por acción</t>
  </si>
  <si>
    <t xml:space="preserve">Por instrumento</t>
  </si>
  <si>
    <t xml:space="preserve">Peso terminal</t>
  </si>
  <si>
    <t xml:space="preserve">g</t>
  </si>
  <si>
    <t xml:space="preserve">Por instrumento (base)</t>
  </si>
  <si>
    <t xml:space="preserve">Control</t>
  </si>
  <si>
    <t xml:space="preserve">Resultado</t>
  </si>
  <si>
    <t xml:space="preserve">Criterio</t>
  </si>
  <si>
    <t xml:space="preserve">Balance 2020</t>
  </si>
  <si>
    <t xml:space="preserve">Debe ser cero; N/D bloquea conciliación</t>
  </si>
  <si>
    <t xml:space="preserve">Balance 2021</t>
  </si>
  <si>
    <t xml:space="preserve">Balance 2022</t>
  </si>
  <si>
    <t xml:space="preserve">Balance 2023</t>
  </si>
  <si>
    <t xml:space="preserve">Balance 2024</t>
  </si>
  <si>
    <t xml:space="preserve">Base flujos = tasas</t>
  </si>
  <si>
    <t xml:space="preserve">Revisión independiente</t>
  </si>
  <si>
    <t xml:space="preserve">PENDIENTE: evidencia y revisor distinto del autor</t>
  </si>
  <si>
    <t xml:space="preserve">Cachés iniciales</t>
  </si>
  <si>
    <t xml:space="preserve">Calculados en Python; recalcular fórmulas tras editar en Excel/LibreOffice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</si>
</sst>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(#,##0.00\)"/>
    <numFmt numFmtId="166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7334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3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.71"/>
    <col collapsed="false" customWidth="true" hidden="false" outlineLevel="0" max="19" min="2" style="0" width="18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11</v>
      </c>
      <c r="E4" s="0" t="s">
        <v>12</v>
      </c>
      <c r="F4" s="0" t="s">
        <v>18</v>
      </c>
      <c r="G4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.71"/>
    <col collapsed="false" customWidth="true" hidden="false" outlineLevel="0" max="19" min="2" style="0" width="18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1</v>
      </c>
    </row>
    <row r="3" customFormat="false" ht="15" hidden="false" customHeight="false" outlineLevel="0" collapsed="false">
      <c r="A3" s="0" t="n">
        <v>2020</v>
      </c>
      <c r="B3" s="0" t="n">
        <v>800</v>
      </c>
      <c r="C3" s="0" t="n">
        <v>144</v>
      </c>
      <c r="D3" s="0" t="n">
        <v>80</v>
      </c>
      <c r="E3" s="0" t="n">
        <v>100</v>
      </c>
      <c r="F3" s="0" t="n">
        <v>40</v>
      </c>
      <c r="G3" s="0" t="n">
        <v>1300</v>
      </c>
      <c r="H3" s="0" t="n">
        <v>520</v>
      </c>
      <c r="I3" s="0" t="n">
        <v>780</v>
      </c>
      <c r="J3" s="0" t="s">
        <v>15</v>
      </c>
    </row>
    <row r="4" customFormat="false" ht="15" hidden="false" customHeight="false" outlineLevel="0" collapsed="false">
      <c r="A4" s="0" t="n">
        <v>2021</v>
      </c>
      <c r="B4" s="0" t="n">
        <v>850</v>
      </c>
      <c r="C4" s="0" t="n">
        <v>153</v>
      </c>
      <c r="D4" s="0" t="n">
        <v>85</v>
      </c>
      <c r="E4" s="0" t="n">
        <v>105</v>
      </c>
      <c r="F4" s="0" t="n">
        <v>42.5</v>
      </c>
      <c r="G4" s="0" t="n">
        <v>1350</v>
      </c>
      <c r="H4" s="0" t="n">
        <v>540</v>
      </c>
      <c r="I4" s="0" t="n">
        <v>810</v>
      </c>
      <c r="J4" s="0" t="s">
        <v>15</v>
      </c>
    </row>
    <row r="5" customFormat="false" ht="15" hidden="false" customHeight="false" outlineLevel="0" collapsed="false">
      <c r="A5" s="0" t="n">
        <v>2022</v>
      </c>
      <c r="B5" s="0" t="n">
        <v>900</v>
      </c>
      <c r="C5" s="0" t="n">
        <v>162</v>
      </c>
      <c r="D5" s="0" t="n">
        <v>90</v>
      </c>
      <c r="E5" s="0" t="n">
        <v>110</v>
      </c>
      <c r="F5" s="0" t="n">
        <v>45</v>
      </c>
      <c r="G5" s="0" t="n">
        <v>1400</v>
      </c>
      <c r="H5" s="0" t="n">
        <v>560</v>
      </c>
      <c r="I5" s="0" t="n">
        <v>840</v>
      </c>
      <c r="J5" s="0" t="s">
        <v>15</v>
      </c>
    </row>
    <row r="6" customFormat="false" ht="15" hidden="false" customHeight="false" outlineLevel="0" collapsed="false">
      <c r="A6" s="0" t="n">
        <v>2023</v>
      </c>
      <c r="B6" s="0" t="n">
        <v>950</v>
      </c>
      <c r="C6" s="0" t="n">
        <v>171</v>
      </c>
      <c r="D6" s="0" t="n">
        <v>95</v>
      </c>
      <c r="E6" s="0" t="n">
        <v>115</v>
      </c>
      <c r="F6" s="0" t="n">
        <v>47.5</v>
      </c>
      <c r="G6" s="0" t="n">
        <v>1450</v>
      </c>
      <c r="H6" s="0" t="n">
        <v>580</v>
      </c>
      <c r="I6" s="0" t="n">
        <v>870</v>
      </c>
      <c r="J6" s="0" t="s">
        <v>15</v>
      </c>
    </row>
    <row r="7" customFormat="false" ht="15" hidden="false" customHeight="false" outlineLevel="0" collapsed="false">
      <c r="A7" s="0" t="n">
        <v>2024</v>
      </c>
      <c r="B7" s="0" t="n">
        <v>1000</v>
      </c>
      <c r="C7" s="0" t="n">
        <v>180</v>
      </c>
      <c r="D7" s="0" t="n">
        <v>100</v>
      </c>
      <c r="E7" s="0" t="n">
        <v>120</v>
      </c>
      <c r="F7" s="0" t="n">
        <v>50</v>
      </c>
      <c r="G7" s="0" t="n">
        <v>1500</v>
      </c>
      <c r="H7" s="0" t="n">
        <v>600</v>
      </c>
      <c r="I7" s="0" t="n">
        <v>900</v>
      </c>
      <c r="J7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.71"/>
    <col collapsed="false" customWidth="true" hidden="false" outlineLevel="0" max="19" min="2" style="0" width="18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</row>
    <row r="3" customFormat="false" ht="15" hidden="false" customHeight="false" outlineLevel="0" collapsed="false">
      <c r="A3" s="0" t="s">
        <v>35</v>
      </c>
      <c r="B3" s="0" t="n">
        <v>1000</v>
      </c>
      <c r="C3" s="0" t="n">
        <v>0</v>
      </c>
      <c r="D3" s="2" t="n">
        <f aca="false">B3+C3</f>
        <v>1000</v>
      </c>
      <c r="E3" s="0" t="s">
        <v>36</v>
      </c>
      <c r="F3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.71"/>
    <col collapsed="false" customWidth="true" hidden="false" outlineLevel="0" max="19" min="2" style="0" width="18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</row>
    <row r="3" customFormat="false" ht="15" hidden="false" customHeight="false" outlineLevel="0" collapsed="false">
      <c r="A3" s="0" t="s">
        <v>52</v>
      </c>
      <c r="B3" s="3" t="n">
        <v>0.12</v>
      </c>
      <c r="C3" s="3" t="n">
        <v>0.25</v>
      </c>
      <c r="D3" s="3" t="n">
        <v>0.03</v>
      </c>
      <c r="E3" s="3" t="n">
        <v>0.05</v>
      </c>
      <c r="F3" s="3" t="n">
        <v>0.12</v>
      </c>
      <c r="G3" s="3" t="n">
        <v>0.12</v>
      </c>
      <c r="H3" s="3" t="n">
        <v>0.015</v>
      </c>
      <c r="I3" s="3" t="n">
        <v>0.1</v>
      </c>
      <c r="J3" s="0" t="s">
        <v>53</v>
      </c>
      <c r="K3" s="3" t="n">
        <v>-0.05</v>
      </c>
      <c r="L3" s="3" t="n">
        <v>0</v>
      </c>
      <c r="M3" s="3" t="n">
        <v>0.02</v>
      </c>
      <c r="N3" s="3" t="n">
        <v>0.02</v>
      </c>
      <c r="O3" s="3" t="n">
        <v>0.02</v>
      </c>
    </row>
    <row r="4" customFormat="false" ht="15" hidden="false" customHeight="false" outlineLevel="0" collapsed="false">
      <c r="A4" s="0" t="s">
        <v>54</v>
      </c>
      <c r="B4" s="3" t="n">
        <v>0.18</v>
      </c>
      <c r="C4" s="3" t="n">
        <v>0.25</v>
      </c>
      <c r="D4" s="3" t="n">
        <v>0.03</v>
      </c>
      <c r="E4" s="3" t="n">
        <v>0.05</v>
      </c>
      <c r="F4" s="3" t="n">
        <v>0.12</v>
      </c>
      <c r="G4" s="3" t="n">
        <v>0.1</v>
      </c>
      <c r="H4" s="3" t="n">
        <v>0.02</v>
      </c>
      <c r="I4" s="3" t="n">
        <v>0.15</v>
      </c>
      <c r="J4" s="0" t="s">
        <v>55</v>
      </c>
      <c r="K4" s="3" t="n">
        <v>0.06</v>
      </c>
      <c r="L4" s="3" t="n">
        <v>0.05</v>
      </c>
      <c r="M4" s="3" t="n">
        <v>0.04</v>
      </c>
      <c r="N4" s="3" t="n">
        <v>0.03</v>
      </c>
      <c r="O4" s="3" t="n">
        <v>0.03</v>
      </c>
    </row>
    <row r="5" customFormat="false" ht="15" hidden="false" customHeight="false" outlineLevel="0" collapsed="false">
      <c r="A5" s="0" t="s">
        <v>56</v>
      </c>
      <c r="B5" s="3" t="n">
        <v>0.22</v>
      </c>
      <c r="C5" s="3" t="n">
        <v>0.25</v>
      </c>
      <c r="D5" s="3" t="n">
        <v>0.03</v>
      </c>
      <c r="E5" s="3" t="n">
        <v>0.05</v>
      </c>
      <c r="F5" s="3" t="n">
        <v>0.12</v>
      </c>
      <c r="G5" s="3" t="n">
        <v>0.09</v>
      </c>
      <c r="H5" s="3" t="n">
        <v>0.025</v>
      </c>
      <c r="I5" s="3" t="n">
        <v>0.18</v>
      </c>
      <c r="J5" s="0" t="s">
        <v>57</v>
      </c>
      <c r="K5" s="3" t="n">
        <v>0.1</v>
      </c>
      <c r="L5" s="3" t="n">
        <v>0.08</v>
      </c>
      <c r="M5" s="3" t="n">
        <v>0.06</v>
      </c>
      <c r="N5" s="3" t="n">
        <v>0.05</v>
      </c>
      <c r="O5" s="3" t="n">
        <v>0.04</v>
      </c>
    </row>
    <row r="8" customFormat="false" ht="15" hidden="false" customHeight="false" outlineLevel="0" collapsed="false">
      <c r="A8" s="0" t="s">
        <v>58</v>
      </c>
      <c r="B8" s="0" t="s">
        <v>59</v>
      </c>
    </row>
    <row r="9" customFormat="false" ht="15" hidden="false" customHeight="false" outlineLevel="0" collapsed="false">
      <c r="A9" s="0" t="s">
        <v>60</v>
      </c>
      <c r="B9" s="0" t="s">
        <v>61</v>
      </c>
    </row>
    <row r="10" customFormat="false" ht="15" hidden="false" customHeight="false" outlineLevel="0" collapsed="false">
      <c r="A10" s="0" t="s">
        <v>62</v>
      </c>
      <c r="B10" s="0" t="s">
        <v>61</v>
      </c>
    </row>
    <row r="11" customFormat="false" ht="15" hidden="false" customHeight="false" outlineLevel="0" collapsed="false">
      <c r="A11" s="0" t="s">
        <v>63</v>
      </c>
      <c r="B11" s="0" t="n">
        <v>1000</v>
      </c>
    </row>
    <row r="12" customFormat="false" ht="15" hidden="false" customHeight="false" outlineLevel="0" collapsed="false">
      <c r="A12" s="0" t="s">
        <v>64</v>
      </c>
      <c r="B12" s="0" t="n">
        <v>200</v>
      </c>
    </row>
    <row r="13" customFormat="false" ht="15" hidden="false" customHeight="false" outlineLevel="0" collapsed="false">
      <c r="A13" s="0" t="s">
        <v>65</v>
      </c>
      <c r="B13" s="0" t="n">
        <v>50</v>
      </c>
    </row>
    <row r="14" customFormat="false" ht="15" hidden="false" customHeight="false" outlineLevel="0" collapsed="false">
      <c r="A14" s="0" t="s">
        <v>66</v>
      </c>
      <c r="B14" s="0" t="n">
        <v>10</v>
      </c>
    </row>
    <row r="15" customFormat="false" ht="15" hidden="false" customHeight="false" outlineLevel="0" collapsed="false">
      <c r="A15" s="0" t="s">
        <v>67</v>
      </c>
      <c r="B15" s="0" t="n">
        <v>5</v>
      </c>
    </row>
    <row r="16" customFormat="false" ht="15" hidden="false" customHeight="false" outlineLevel="0" collapsed="false">
      <c r="A16" s="0" t="s">
        <v>68</v>
      </c>
      <c r="B16" s="0" t="n">
        <v>100</v>
      </c>
    </row>
    <row r="17" customFormat="false" ht="15" hidden="false" customHeight="false" outlineLevel="0" collapsed="false">
      <c r="A17" s="0" t="s">
        <v>69</v>
      </c>
      <c r="B17" s="0" t="n">
        <v>1</v>
      </c>
    </row>
    <row r="18" customFormat="false" ht="15" hidden="false" customHeight="false" outlineLevel="0" collapsed="false">
      <c r="A18" s="0" t="s">
        <v>70</v>
      </c>
      <c r="B18" s="0" t="n">
        <v>0</v>
      </c>
    </row>
    <row r="19" customFormat="false" ht="15" hidden="false" customHeight="false" outlineLevel="0" collapsed="false">
      <c r="A19" s="0" t="s">
        <v>71</v>
      </c>
      <c r="B19" s="0" t="s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.71"/>
    <col collapsed="false" customWidth="true" hidden="false" outlineLevel="0" max="19" min="2" style="0" width="18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37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81</v>
      </c>
    </row>
    <row r="3" customFormat="false" ht="15" hidden="false" customHeight="false" outlineLevel="0" collapsed="false">
      <c r="A3" s="0" t="s">
        <v>52</v>
      </c>
      <c r="B3" s="0" t="n">
        <v>1</v>
      </c>
      <c r="C3" s="2" t="n">
        <f aca="false">Supuestos!$B$11*(1+Supuestos!K3)</f>
        <v>950</v>
      </c>
      <c r="D3" s="2" t="n">
        <f aca="false">C3*Supuestos!B3</f>
        <v>114</v>
      </c>
      <c r="E3" s="2" t="n">
        <f aca="false">D3*(1-Supuestos!C3)</f>
        <v>85.5</v>
      </c>
      <c r="F3" s="2" t="n">
        <f aca="false">C3*Supuestos!D3</f>
        <v>28.5</v>
      </c>
      <c r="G3" s="2" t="n">
        <f aca="false">C3*Supuestos!E3</f>
        <v>47.5</v>
      </c>
      <c r="H3" s="2" t="n">
        <f aca="false">(C3-Supuestos!$B$11)*Supuestos!F3</f>
        <v>-6</v>
      </c>
      <c r="I3" s="2" t="n">
        <f aca="false">E3+F3-G3-H3</f>
        <v>72.5</v>
      </c>
      <c r="J3" s="2" t="n">
        <f aca="false">I3/(1+Supuestos!G3)^B3</f>
        <v>64.7321428571429</v>
      </c>
    </row>
    <row r="4" customFormat="false" ht="15" hidden="false" customHeight="false" outlineLevel="0" collapsed="false">
      <c r="A4" s="0" t="s">
        <v>52</v>
      </c>
      <c r="B4" s="0" t="n">
        <v>2</v>
      </c>
      <c r="C4" s="2" t="n">
        <f aca="false">C3*(1+Supuestos!L3)</f>
        <v>950</v>
      </c>
      <c r="D4" s="2" t="n">
        <f aca="false">C4*Supuestos!B3</f>
        <v>114</v>
      </c>
      <c r="E4" s="2" t="n">
        <f aca="false">D4*(1-Supuestos!C3)</f>
        <v>85.5</v>
      </c>
      <c r="F4" s="2" t="n">
        <f aca="false">C4*Supuestos!D3</f>
        <v>28.5</v>
      </c>
      <c r="G4" s="2" t="n">
        <f aca="false">C4*Supuestos!E3</f>
        <v>47.5</v>
      </c>
      <c r="H4" s="2" t="n">
        <f aca="false">(C4-C3)*Supuestos!F3</f>
        <v>0</v>
      </c>
      <c r="I4" s="2" t="n">
        <f aca="false">E4+F4-G4-H4</f>
        <v>66.5</v>
      </c>
      <c r="J4" s="2" t="n">
        <f aca="false">I4/(1+Supuestos!G3)^B4</f>
        <v>53.0133928571429</v>
      </c>
    </row>
    <row r="5" customFormat="false" ht="15" hidden="false" customHeight="false" outlineLevel="0" collapsed="false">
      <c r="A5" s="0" t="s">
        <v>52</v>
      </c>
      <c r="B5" s="0" t="n">
        <v>3</v>
      </c>
      <c r="C5" s="2" t="n">
        <f aca="false">C4*(1+Supuestos!M3)</f>
        <v>969</v>
      </c>
      <c r="D5" s="2" t="n">
        <f aca="false">C5*Supuestos!B3</f>
        <v>116.28</v>
      </c>
      <c r="E5" s="2" t="n">
        <f aca="false">D5*(1-Supuestos!C3)</f>
        <v>87.21</v>
      </c>
      <c r="F5" s="2" t="n">
        <f aca="false">C5*Supuestos!D3</f>
        <v>29.07</v>
      </c>
      <c r="G5" s="2" t="n">
        <f aca="false">C5*Supuestos!E3</f>
        <v>48.45</v>
      </c>
      <c r="H5" s="2" t="n">
        <f aca="false">(C5-C4)*Supuestos!F3</f>
        <v>2.28</v>
      </c>
      <c r="I5" s="2" t="n">
        <f aca="false">E5+F5-G5-H5</f>
        <v>65.55</v>
      </c>
      <c r="J5" s="2" t="n">
        <f aca="false">I5/(1+Supuestos!G3)^B5</f>
        <v>46.6571952441691</v>
      </c>
    </row>
    <row r="6" customFormat="false" ht="15" hidden="false" customHeight="false" outlineLevel="0" collapsed="false">
      <c r="A6" s="0" t="s">
        <v>52</v>
      </c>
      <c r="B6" s="0" t="n">
        <v>4</v>
      </c>
      <c r="C6" s="2" t="n">
        <f aca="false">C5*(1+Supuestos!N3)</f>
        <v>988.38</v>
      </c>
      <c r="D6" s="2" t="n">
        <f aca="false">C6*Supuestos!B3</f>
        <v>118.6056</v>
      </c>
      <c r="E6" s="2" t="n">
        <f aca="false">D6*(1-Supuestos!C3)</f>
        <v>88.9542</v>
      </c>
      <c r="F6" s="2" t="n">
        <f aca="false">C6*Supuestos!D3</f>
        <v>29.6514</v>
      </c>
      <c r="G6" s="2" t="n">
        <f aca="false">C6*Supuestos!E3</f>
        <v>49.419</v>
      </c>
      <c r="H6" s="2" t="n">
        <f aca="false">(C6-C5)*Supuestos!F3</f>
        <v>2.3256</v>
      </c>
      <c r="I6" s="2" t="n">
        <f aca="false">E6+F6-G6-H6</f>
        <v>66.861</v>
      </c>
      <c r="J6" s="2" t="n">
        <f aca="false">I6/(1+Supuestos!G3)^B6</f>
        <v>42.4913742402254</v>
      </c>
    </row>
    <row r="7" customFormat="false" ht="15" hidden="false" customHeight="false" outlineLevel="0" collapsed="false">
      <c r="A7" s="0" t="s">
        <v>52</v>
      </c>
      <c r="B7" s="0" t="n">
        <v>5</v>
      </c>
      <c r="C7" s="2" t="n">
        <f aca="false">C6*(1+Supuestos!O3)</f>
        <v>1008.1476</v>
      </c>
      <c r="D7" s="2" t="n">
        <f aca="false">C7*Supuestos!B3</f>
        <v>120.977712</v>
      </c>
      <c r="E7" s="2" t="n">
        <f aca="false">D7*(1-Supuestos!C3)</f>
        <v>90.733284</v>
      </c>
      <c r="F7" s="2" t="n">
        <f aca="false">C7*Supuestos!D3</f>
        <v>30.244428</v>
      </c>
      <c r="G7" s="2" t="n">
        <f aca="false">C7*Supuestos!E3</f>
        <v>50.40738</v>
      </c>
      <c r="H7" s="2" t="n">
        <f aca="false">(C7-C6)*Supuestos!F3</f>
        <v>2.372112</v>
      </c>
      <c r="I7" s="2" t="n">
        <f aca="false">E7+F7-G7-H7</f>
        <v>68.19822</v>
      </c>
      <c r="J7" s="2" t="n">
        <f aca="false">I7/(1+Supuestos!G3)^B7</f>
        <v>38.6975015402053</v>
      </c>
    </row>
    <row r="8" customFormat="false" ht="15" hidden="false" customHeight="false" outlineLevel="0" collapsed="false">
      <c r="A8" s="0" t="s">
        <v>54</v>
      </c>
      <c r="B8" s="0" t="n">
        <v>1</v>
      </c>
      <c r="C8" s="2" t="n">
        <f aca="false">Supuestos!$B$11*(1+Supuestos!K4)</f>
        <v>1060</v>
      </c>
      <c r="D8" s="2" t="n">
        <f aca="false">C8*Supuestos!B4</f>
        <v>190.8</v>
      </c>
      <c r="E8" s="2" t="n">
        <f aca="false">D8*(1-Supuestos!C4)</f>
        <v>143.1</v>
      </c>
      <c r="F8" s="2" t="n">
        <f aca="false">C8*Supuestos!D4</f>
        <v>31.8</v>
      </c>
      <c r="G8" s="2" t="n">
        <f aca="false">C8*Supuestos!E4</f>
        <v>53</v>
      </c>
      <c r="H8" s="2" t="n">
        <f aca="false">(C8-Supuestos!$B$11)*Supuestos!F4</f>
        <v>7.2</v>
      </c>
      <c r="I8" s="2" t="n">
        <f aca="false">E8+F8-G8-H8</f>
        <v>114.7</v>
      </c>
      <c r="J8" s="2" t="n">
        <f aca="false">I8/(1+Supuestos!G4)^B8</f>
        <v>104.272727272727</v>
      </c>
    </row>
    <row r="9" customFormat="false" ht="15" hidden="false" customHeight="false" outlineLevel="0" collapsed="false">
      <c r="A9" s="0" t="s">
        <v>54</v>
      </c>
      <c r="B9" s="0" t="n">
        <v>2</v>
      </c>
      <c r="C9" s="2" t="n">
        <f aca="false">C8*(1+Supuestos!L4)</f>
        <v>1113</v>
      </c>
      <c r="D9" s="2" t="n">
        <f aca="false">C9*Supuestos!B4</f>
        <v>200.34</v>
      </c>
      <c r="E9" s="2" t="n">
        <f aca="false">D9*(1-Supuestos!C4)</f>
        <v>150.255</v>
      </c>
      <c r="F9" s="2" t="n">
        <f aca="false">C9*Supuestos!D4</f>
        <v>33.39</v>
      </c>
      <c r="G9" s="2" t="n">
        <f aca="false">C9*Supuestos!E4</f>
        <v>55.65</v>
      </c>
      <c r="H9" s="2" t="n">
        <f aca="false">(C9-C8)*Supuestos!F4</f>
        <v>6.36</v>
      </c>
      <c r="I9" s="2" t="n">
        <f aca="false">E9+F9-G9-H9</f>
        <v>121.635</v>
      </c>
      <c r="J9" s="2" t="n">
        <f aca="false">I9/(1+Supuestos!G4)^B9</f>
        <v>100.52479338843</v>
      </c>
    </row>
    <row r="10" customFormat="false" ht="15" hidden="false" customHeight="false" outlineLevel="0" collapsed="false">
      <c r="A10" s="0" t="s">
        <v>54</v>
      </c>
      <c r="B10" s="0" t="n">
        <v>3</v>
      </c>
      <c r="C10" s="2" t="n">
        <f aca="false">C9*(1+Supuestos!M4)</f>
        <v>1157.52</v>
      </c>
      <c r="D10" s="2" t="n">
        <f aca="false">C10*Supuestos!B4</f>
        <v>208.3536</v>
      </c>
      <c r="E10" s="2" t="n">
        <f aca="false">D10*(1-Supuestos!C4)</f>
        <v>156.2652</v>
      </c>
      <c r="F10" s="2" t="n">
        <f aca="false">C10*Supuestos!D4</f>
        <v>34.7256</v>
      </c>
      <c r="G10" s="2" t="n">
        <f aca="false">C10*Supuestos!E4</f>
        <v>57.876</v>
      </c>
      <c r="H10" s="2" t="n">
        <f aca="false">(C10-C9)*Supuestos!F4</f>
        <v>5.3424</v>
      </c>
      <c r="I10" s="2" t="n">
        <f aca="false">E10+F10-G10-H10</f>
        <v>127.7724</v>
      </c>
      <c r="J10" s="2" t="n">
        <f aca="false">I10/(1+Supuestos!G4)^B10</f>
        <v>95.9972952667168</v>
      </c>
    </row>
    <row r="11" customFormat="false" ht="15" hidden="false" customHeight="false" outlineLevel="0" collapsed="false">
      <c r="A11" s="0" t="s">
        <v>54</v>
      </c>
      <c r="B11" s="0" t="n">
        <v>4</v>
      </c>
      <c r="C11" s="2" t="n">
        <f aca="false">C10*(1+Supuestos!N4)</f>
        <v>1192.2456</v>
      </c>
      <c r="D11" s="2" t="n">
        <f aca="false">C11*Supuestos!B4</f>
        <v>214.604208</v>
      </c>
      <c r="E11" s="2" t="n">
        <f aca="false">D11*(1-Supuestos!C4)</f>
        <v>160.953156</v>
      </c>
      <c r="F11" s="2" t="n">
        <f aca="false">C11*Supuestos!D4</f>
        <v>35.767368</v>
      </c>
      <c r="G11" s="2" t="n">
        <f aca="false">C11*Supuestos!E4</f>
        <v>59.61228</v>
      </c>
      <c r="H11" s="2" t="n">
        <f aca="false">(C11-C10)*Supuestos!F4</f>
        <v>4.167072</v>
      </c>
      <c r="I11" s="2" t="n">
        <f aca="false">E11+F11-G11-H11</f>
        <v>132.941172</v>
      </c>
      <c r="J11" s="2" t="n">
        <f aca="false">I11/(1+Supuestos!G4)^B11</f>
        <v>90.8006092480022</v>
      </c>
    </row>
    <row r="12" customFormat="false" ht="15" hidden="false" customHeight="false" outlineLevel="0" collapsed="false">
      <c r="A12" s="0" t="s">
        <v>54</v>
      </c>
      <c r="B12" s="0" t="n">
        <v>5</v>
      </c>
      <c r="C12" s="2" t="n">
        <f aca="false">C11*(1+Supuestos!O4)</f>
        <v>1228.012968</v>
      </c>
      <c r="D12" s="2" t="n">
        <f aca="false">C12*Supuestos!B4</f>
        <v>221.04233424</v>
      </c>
      <c r="E12" s="2" t="n">
        <f aca="false">D12*(1-Supuestos!C4)</f>
        <v>165.78175068</v>
      </c>
      <c r="F12" s="2" t="n">
        <f aca="false">C12*Supuestos!D4</f>
        <v>36.84038904</v>
      </c>
      <c r="G12" s="2" t="n">
        <f aca="false">C12*Supuestos!E4</f>
        <v>61.4006484</v>
      </c>
      <c r="H12" s="2" t="n">
        <f aca="false">(C12-C11)*Supuestos!F4</f>
        <v>4.29208416</v>
      </c>
      <c r="I12" s="2" t="n">
        <f aca="false">E12+F12-G12-H12</f>
        <v>136.92940716</v>
      </c>
      <c r="J12" s="2" t="n">
        <f aca="false">I12/(1+Supuestos!G4)^B12</f>
        <v>85.022388659493</v>
      </c>
    </row>
    <row r="13" customFormat="false" ht="15" hidden="false" customHeight="false" outlineLevel="0" collapsed="false">
      <c r="A13" s="0" t="s">
        <v>56</v>
      </c>
      <c r="B13" s="0" t="n">
        <v>1</v>
      </c>
      <c r="C13" s="2" t="n">
        <f aca="false">Supuestos!$B$11*(1+Supuestos!K5)</f>
        <v>1100</v>
      </c>
      <c r="D13" s="2" t="n">
        <f aca="false">C13*Supuestos!B5</f>
        <v>242</v>
      </c>
      <c r="E13" s="2" t="n">
        <f aca="false">D13*(1-Supuestos!C5)</f>
        <v>181.5</v>
      </c>
      <c r="F13" s="2" t="n">
        <f aca="false">C13*Supuestos!D5</f>
        <v>33</v>
      </c>
      <c r="G13" s="2" t="n">
        <f aca="false">C13*Supuestos!E5</f>
        <v>55</v>
      </c>
      <c r="H13" s="2" t="n">
        <f aca="false">(C13-Supuestos!$B$11)*Supuestos!F5</f>
        <v>12</v>
      </c>
      <c r="I13" s="2" t="n">
        <f aca="false">E13+F13-G13-H13</f>
        <v>147.5</v>
      </c>
      <c r="J13" s="2" t="n">
        <f aca="false">I13/(1+Supuestos!G5)^B13</f>
        <v>135.321100917431</v>
      </c>
    </row>
    <row r="14" customFormat="false" ht="15" hidden="false" customHeight="false" outlineLevel="0" collapsed="false">
      <c r="A14" s="0" t="s">
        <v>56</v>
      </c>
      <c r="B14" s="0" t="n">
        <v>2</v>
      </c>
      <c r="C14" s="2" t="n">
        <f aca="false">C13*(1+Supuestos!L5)</f>
        <v>1188</v>
      </c>
      <c r="D14" s="2" t="n">
        <f aca="false">C14*Supuestos!B5</f>
        <v>261.36</v>
      </c>
      <c r="E14" s="2" t="n">
        <f aca="false">D14*(1-Supuestos!C5)</f>
        <v>196.02</v>
      </c>
      <c r="F14" s="2" t="n">
        <f aca="false">C14*Supuestos!D5</f>
        <v>35.64</v>
      </c>
      <c r="G14" s="2" t="n">
        <f aca="false">C14*Supuestos!E5</f>
        <v>59.4</v>
      </c>
      <c r="H14" s="2" t="n">
        <f aca="false">(C14-C13)*Supuestos!F5</f>
        <v>10.56</v>
      </c>
      <c r="I14" s="2" t="n">
        <f aca="false">E14+F14-G14-H14</f>
        <v>161.7</v>
      </c>
      <c r="J14" s="2" t="n">
        <f aca="false">I14/(1+Supuestos!G5)^B14</f>
        <v>136.099654911203</v>
      </c>
    </row>
    <row r="15" customFormat="false" ht="15" hidden="false" customHeight="false" outlineLevel="0" collapsed="false">
      <c r="A15" s="0" t="s">
        <v>56</v>
      </c>
      <c r="B15" s="0" t="n">
        <v>3</v>
      </c>
      <c r="C15" s="2" t="n">
        <f aca="false">C14*(1+Supuestos!M5)</f>
        <v>1259.28</v>
      </c>
      <c r="D15" s="2" t="n">
        <f aca="false">C15*Supuestos!B5</f>
        <v>277.0416</v>
      </c>
      <c r="E15" s="2" t="n">
        <f aca="false">D15*(1-Supuestos!C5)</f>
        <v>207.7812</v>
      </c>
      <c r="F15" s="2" t="n">
        <f aca="false">C15*Supuestos!D5</f>
        <v>37.7784</v>
      </c>
      <c r="G15" s="2" t="n">
        <f aca="false">C15*Supuestos!E5</f>
        <v>62.964</v>
      </c>
      <c r="H15" s="2" t="n">
        <f aca="false">(C15-C14)*Supuestos!F5</f>
        <v>8.5536</v>
      </c>
      <c r="I15" s="2" t="n">
        <f aca="false">E15+F15-G15-H15</f>
        <v>174.042</v>
      </c>
      <c r="J15" s="2" t="n">
        <f aca="false">I15/(1+Supuestos!G5)^B15</f>
        <v>134.392357236788</v>
      </c>
    </row>
    <row r="16" customFormat="false" ht="15" hidden="false" customHeight="false" outlineLevel="0" collapsed="false">
      <c r="A16" s="0" t="s">
        <v>56</v>
      </c>
      <c r="B16" s="0" t="n">
        <v>4</v>
      </c>
      <c r="C16" s="2" t="n">
        <f aca="false">C15*(1+Supuestos!N5)</f>
        <v>1322.244</v>
      </c>
      <c r="D16" s="2" t="n">
        <f aca="false">C16*Supuestos!B5</f>
        <v>290.89368</v>
      </c>
      <c r="E16" s="2" t="n">
        <f aca="false">D16*(1-Supuestos!C5)</f>
        <v>218.17026</v>
      </c>
      <c r="F16" s="2" t="n">
        <f aca="false">C16*Supuestos!D5</f>
        <v>39.66732</v>
      </c>
      <c r="G16" s="2" t="n">
        <f aca="false">C16*Supuestos!E5</f>
        <v>66.1122</v>
      </c>
      <c r="H16" s="2" t="n">
        <f aca="false">(C16-C15)*Supuestos!F5</f>
        <v>7.55568</v>
      </c>
      <c r="I16" s="2" t="n">
        <f aca="false">E16+F16-G16-H16</f>
        <v>184.1697</v>
      </c>
      <c r="J16" s="2" t="n">
        <f aca="false">I16/(1+Supuestos!G5)^B16</f>
        <v>130.470458594314</v>
      </c>
    </row>
    <row r="17" customFormat="false" ht="15" hidden="false" customHeight="false" outlineLevel="0" collapsed="false">
      <c r="A17" s="0" t="s">
        <v>56</v>
      </c>
      <c r="B17" s="0" t="n">
        <v>5</v>
      </c>
      <c r="C17" s="2" t="n">
        <f aca="false">C16*(1+Supuestos!O5)</f>
        <v>1375.13376</v>
      </c>
      <c r="D17" s="2" t="n">
        <f aca="false">C17*Supuestos!B5</f>
        <v>302.5294272</v>
      </c>
      <c r="E17" s="2" t="n">
        <f aca="false">D17*(1-Supuestos!C5)</f>
        <v>226.8970704</v>
      </c>
      <c r="F17" s="2" t="n">
        <f aca="false">C17*Supuestos!D5</f>
        <v>41.2540128</v>
      </c>
      <c r="G17" s="2" t="n">
        <f aca="false">C17*Supuestos!E5</f>
        <v>68.756688</v>
      </c>
      <c r="H17" s="2" t="n">
        <f aca="false">(C17-C16)*Supuestos!F5</f>
        <v>6.3467712</v>
      </c>
      <c r="I17" s="2" t="n">
        <f aca="false">E17+F17-G17-H17</f>
        <v>193.047624</v>
      </c>
      <c r="J17" s="2" t="n">
        <f aca="false">I17/(1+Supuestos!G5)^B17</f>
        <v>125.467709887922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.71"/>
    <col collapsed="false" customWidth="true" hidden="false" outlineLevel="0" max="19" min="2" style="0" width="18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37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  <c r="I2" s="1" t="s">
        <v>89</v>
      </c>
    </row>
    <row r="3" customFormat="false" ht="15" hidden="false" customHeight="false" outlineLevel="0" collapsed="false">
      <c r="A3" s="0" t="s">
        <v>52</v>
      </c>
      <c r="B3" s="2" t="n">
        <f aca="false">Proyecciones!E7*(1+Supuestos!H3)*(1-Supuestos!H3/Supuestos!I3)</f>
        <v>78.280140771</v>
      </c>
      <c r="C3" s="2" t="n">
        <f aca="false">B3/(Supuestos!G3-Supuestos!H3)</f>
        <v>745.5251502</v>
      </c>
      <c r="D3" s="2" t="n">
        <f aca="false">C3/(1+Supuestos!G3)^Proyecciones!B7</f>
        <v>423.030991837123</v>
      </c>
      <c r="E3" s="2" t="n">
        <f aca="false">SUM(Proyecciones!J3:J7)+D3</f>
        <v>668.622598576008</v>
      </c>
      <c r="F3" s="2" t="n">
        <f aca="false">E3-Supuestos!$B$12+Supuestos!$B$13+Supuestos!$B$14-Supuestos!$B$15-Supuestos!$B$18</f>
        <v>523.622598576008</v>
      </c>
      <c r="G3" s="2" t="n">
        <f aca="false">F3/Supuestos!$B$16</f>
        <v>5.23622598576008</v>
      </c>
      <c r="H3" s="2" t="n">
        <f aca="false">G3*Supuestos!$B$17</f>
        <v>5.23622598576008</v>
      </c>
      <c r="I3" s="3" t="n">
        <f aca="false">IF(E3=0,"N/D",D3/E3)</f>
        <v>0.632690239214272</v>
      </c>
    </row>
    <row r="4" customFormat="false" ht="15" hidden="false" customHeight="false" outlineLevel="0" collapsed="false">
      <c r="A4" s="0" t="s">
        <v>54</v>
      </c>
      <c r="B4" s="2" t="n">
        <f aca="false">Proyecciones!E12*(1+Supuestos!H4)*(1-Supuestos!H4/Supuestos!I4)</f>
        <v>146.55106760112</v>
      </c>
      <c r="C4" s="2" t="n">
        <f aca="false">B4/(Supuestos!G4-Supuestos!H4)</f>
        <v>1831.888345014</v>
      </c>
      <c r="D4" s="2" t="n">
        <f aca="false">C4/(1+Supuestos!G4)^Proyecciones!B12</f>
        <v>1137.45853488274</v>
      </c>
      <c r="E4" s="2" t="n">
        <f aca="false">SUM(Proyecciones!J8:J12)+D4</f>
        <v>1614.07634871811</v>
      </c>
      <c r="F4" s="2" t="n">
        <f aca="false">E4-Supuestos!$B$12+Supuestos!$B$13+Supuestos!$B$14-Supuestos!$B$15-Supuestos!$B$18</f>
        <v>1469.07634871811</v>
      </c>
      <c r="G4" s="2" t="n">
        <f aca="false">F4/Supuestos!$B$16</f>
        <v>14.6907634871811</v>
      </c>
      <c r="H4" s="2" t="n">
        <f aca="false">G4*Supuestos!$B$17</f>
        <v>14.6907634871811</v>
      </c>
      <c r="I4" s="3" t="n">
        <f aca="false">IF(E4=0,"N/D",D4/E4)</f>
        <v>0.70471172927235</v>
      </c>
    </row>
    <row r="5" customFormat="false" ht="15" hidden="false" customHeight="false" outlineLevel="0" collapsed="false">
      <c r="A5" s="0" t="s">
        <v>56</v>
      </c>
      <c r="B5" s="2" t="n">
        <f aca="false">Proyecciones!E17*(1+Supuestos!H5)*(1-Supuestos!H5/Supuestos!I5)</f>
        <v>200.26817811</v>
      </c>
      <c r="C5" s="2" t="n">
        <f aca="false">B5/(Supuestos!G5-Supuestos!H5)</f>
        <v>3081.048894</v>
      </c>
      <c r="D5" s="2" t="n">
        <f aca="false">C5/(1+Supuestos!G5)^Proyecciones!B17</f>
        <v>2002.4703789304</v>
      </c>
      <c r="E5" s="2" t="n">
        <f aca="false">SUM(Proyecciones!J13:J17)+D5</f>
        <v>2664.22166047806</v>
      </c>
      <c r="F5" s="2" t="n">
        <f aca="false">E5-Supuestos!$B$12+Supuestos!$B$13+Supuestos!$B$14-Supuestos!$B$15-Supuestos!$B$18</f>
        <v>2519.22166047806</v>
      </c>
      <c r="G5" s="2" t="n">
        <f aca="false">F5/Supuestos!$B$16</f>
        <v>25.1922166047806</v>
      </c>
      <c r="H5" s="2" t="n">
        <f aca="false">G5*Supuestos!$B$17</f>
        <v>25.1922166047806</v>
      </c>
      <c r="I5" s="3" t="n">
        <f aca="false">IF(E5=0,"N/D",D5/E5)</f>
        <v>0.751615531333487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.71"/>
    <col collapsed="false" customWidth="true" hidden="false" outlineLevel="0" max="19" min="2" style="0" width="18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43</v>
      </c>
      <c r="B2" s="1" t="s">
        <v>90</v>
      </c>
      <c r="C2" s="1" t="s">
        <v>91</v>
      </c>
    </row>
    <row r="3" customFormat="false" ht="15" hidden="false" customHeight="false" outlineLevel="0" collapsed="false">
      <c r="A3" s="3" t="n">
        <v>0.09</v>
      </c>
      <c r="B3" s="3" t="n">
        <v>0.015</v>
      </c>
      <c r="C3" s="2" t="n">
        <f aca="false">(Proyecciones!I8/(1+A3)^Proyecciones!B8+Proyecciones!I9/(1+A3)^Proyecciones!B9+Proyecciones!I10/(1+A3)^Proyecciones!B10+Proyecciones!I11/(1+A3)^Proyecciones!B11+Proyecciones!I12/(1+A3)^Proyecciones!B12+Proyecciones!E12*(1+B3)*(1-B3/Supuestos!I4)/(A3-B3)/(1+A3)^Proyecciones!B12-Supuestos!$B$12+Supuestos!$B$13+Supuestos!$B$14-Supuestos!$B$15-Supuestos!$B$18)/Supuestos!$B$16*Supuestos!$B$17</f>
        <v>16.5680001137743</v>
      </c>
    </row>
    <row r="4" customFormat="false" ht="15" hidden="false" customHeight="false" outlineLevel="0" collapsed="false">
      <c r="A4" s="3" t="n">
        <v>0.09</v>
      </c>
      <c r="B4" s="3" t="n">
        <v>0.02</v>
      </c>
      <c r="C4" s="2" t="n">
        <f aca="false">(Proyecciones!I8/(1+A4)^Proyecciones!B8+Proyecciones!I9/(1+A4)^Proyecciones!B9+Proyecciones!I10/(1+A4)^Proyecciones!B10+Proyecciones!I11/(1+A4)^Proyecciones!B11+Proyecciones!I12/(1+A4)^Proyecciones!B12+Proyecciones!E12*(1+B4)*(1-B4/Supuestos!I4)/(A4-B4)/(1+A4)^Proyecciones!B12-Supuestos!$B$12+Supuestos!$B$13+Supuestos!$B$14-Supuestos!$B$15-Supuestos!$B$18)/Supuestos!$B$16*Supuestos!$B$17</f>
        <v>17.0513213079931</v>
      </c>
    </row>
    <row r="5" customFormat="false" ht="15" hidden="false" customHeight="false" outlineLevel="0" collapsed="false">
      <c r="A5" s="3" t="n">
        <v>0.09</v>
      </c>
      <c r="B5" s="3" t="n">
        <v>0.025</v>
      </c>
      <c r="C5" s="2" t="n">
        <f aca="false">(Proyecciones!I8/(1+A5)^Proyecciones!B8+Proyecciones!I9/(1+A5)^Proyecciones!B9+Proyecciones!I10/(1+A5)^Proyecciones!B10+Proyecciones!I11/(1+A5)^Proyecciones!B11+Proyecciones!I12/(1+A5)^Proyecciones!B12+Proyecciones!E12*(1+B5)*(1-B5/Supuestos!I4)/(A5-B5)/(1+A5)^Proyecciones!B12-Supuestos!$B$12+Supuestos!$B$13+Supuestos!$B$14-Supuestos!$B$15-Supuestos!$B$18)/Supuestos!$B$16*Supuestos!$B$17</f>
        <v>17.603474133987</v>
      </c>
    </row>
    <row r="6" customFormat="false" ht="15" hidden="false" customHeight="false" outlineLevel="0" collapsed="false">
      <c r="A6" s="3" t="n">
        <v>0.1</v>
      </c>
      <c r="B6" s="3" t="n">
        <v>0.015</v>
      </c>
      <c r="C6" s="2" t="n">
        <f aca="false">(Proyecciones!I8/(1+A6)^Proyecciones!B8+Proyecciones!I9/(1+A6)^Proyecciones!B9+Proyecciones!I10/(1+A6)^Proyecciones!B10+Proyecciones!I11/(1+A6)^Proyecciones!B11+Proyecciones!I12/(1+A6)^Proyecciones!B12+Proyecciones!E12*(1+B6)*(1-B6/Supuestos!I4)/(A6-B6)/(1+A6)^Proyecciones!B12-Supuestos!$B$12+Supuestos!$B$13+Supuestos!$B$14-Supuestos!$B$15-Supuestos!$B$18)/Supuestos!$B$16*Supuestos!$B$17</f>
        <v>14.3789236439739</v>
      </c>
    </row>
    <row r="7" customFormat="false" ht="15" hidden="false" customHeight="false" outlineLevel="0" collapsed="false">
      <c r="A7" s="3" t="n">
        <v>0.1</v>
      </c>
      <c r="B7" s="3" t="n">
        <v>0.02</v>
      </c>
      <c r="C7" s="2" t="n">
        <f aca="false">(Proyecciones!I8/(1+A7)^Proyecciones!B8+Proyecciones!I9/(1+A7)^Proyecciones!B9+Proyecciones!I10/(1+A7)^Proyecciones!B10+Proyecciones!I11/(1+A7)^Proyecciones!B11+Proyecciones!I12/(1+A7)^Proyecciones!B12+Proyecciones!E12*(1+B7)*(1-B7/Supuestos!I4)/(A7-B7)/(1+A7)^Proyecciones!B12-Supuestos!$B$12+Supuestos!$B$13+Supuestos!$B$14-Supuestos!$B$15-Supuestos!$B$18)/Supuestos!$B$16*Supuestos!$B$17</f>
        <v>14.6907634871811</v>
      </c>
    </row>
    <row r="8" customFormat="false" ht="15" hidden="false" customHeight="false" outlineLevel="0" collapsed="false">
      <c r="A8" s="3" t="n">
        <v>0.1</v>
      </c>
      <c r="B8" s="3" t="n">
        <v>0.025</v>
      </c>
      <c r="C8" s="2" t="n">
        <f aca="false">(Proyecciones!I8/(1+A8)^Proyecciones!B8+Proyecciones!I9/(1+A8)^Proyecciones!B9+Proyecciones!I10/(1+A8)^Proyecciones!B10+Proyecciones!I11/(1+A8)^Proyecciones!B11+Proyecciones!I12/(1+A8)^Proyecciones!B12+Proyecciones!E12*(1+B8)*(1-B8/Supuestos!I4)/(A8-B8)/(1+A8)^Proyecciones!B12-Supuestos!$B$12+Supuestos!$B$13+Supuestos!$B$14-Supuestos!$B$15-Supuestos!$B$18)/Supuestos!$B$16*Supuestos!$B$17</f>
        <v>15.0396069795282</v>
      </c>
    </row>
    <row r="9" customFormat="false" ht="15" hidden="false" customHeight="false" outlineLevel="0" collapsed="false">
      <c r="A9" s="3" t="n">
        <v>0.11</v>
      </c>
      <c r="B9" s="3" t="n">
        <v>0.015</v>
      </c>
      <c r="C9" s="2" t="n">
        <f aca="false">(Proyecciones!I8/(1+A9)^Proyecciones!B8+Proyecciones!I9/(1+A9)^Proyecciones!B9+Proyecciones!I10/(1+A9)^Proyecciones!B10+Proyecciones!I11/(1+A9)^Proyecciones!B11+Proyecciones!I12/(1+A9)^Proyecciones!B12+Proyecciones!E12*(1+B9)*(1-B9/Supuestos!I4)/(A9-B9)/(1+A9)^Proyecciones!B12-Supuestos!$B$12+Supuestos!$B$13+Supuestos!$B$14-Supuestos!$B$15-Supuestos!$B$18)/Supuestos!$B$16*Supuestos!$B$17</f>
        <v>12.6534857506663</v>
      </c>
    </row>
    <row r="10" customFormat="false" ht="15" hidden="false" customHeight="false" outlineLevel="0" collapsed="false">
      <c r="A10" s="3" t="n">
        <v>0.11</v>
      </c>
      <c r="B10" s="3" t="n">
        <v>0.02</v>
      </c>
      <c r="C10" s="2" t="n">
        <f aca="false">(Proyecciones!I8/(1+A10)^Proyecciones!B8+Proyecciones!I9/(1+A10)^Proyecciones!B9+Proyecciones!I10/(1+A10)^Proyecciones!B10+Proyecciones!I11/(1+A10)^Proyecciones!B11+Proyecciones!I12/(1+A10)^Proyecciones!B12+Proyecciones!E12*(1+B10)*(1-B10/Supuestos!I4)/(A10-B10)/(1+A10)^Proyecciones!B12-Supuestos!$B$12+Supuestos!$B$13+Supuestos!$B$14-Supuestos!$B$15-Supuestos!$B$18)/Supuestos!$B$16*Supuestos!$B$17</f>
        <v>12.8565813076163</v>
      </c>
    </row>
    <row r="11" customFormat="false" ht="15" hidden="false" customHeight="false" outlineLevel="0" collapsed="false">
      <c r="A11" s="3" t="n">
        <v>0.11</v>
      </c>
      <c r="B11" s="3" t="n">
        <v>0.025</v>
      </c>
      <c r="C11" s="2" t="n">
        <f aca="false">(Proyecciones!I8/(1+A11)^Proyecciones!B8+Proyecciones!I9/(1+A11)^Proyecciones!B9+Proyecciones!I10/(1+A11)^Proyecciones!B10+Proyecciones!I11/(1+A11)^Proyecciones!B11+Proyecciones!I12/(1+A11)^Proyecciones!B12+Proyecciones!E12*(1+B11)*(1-B11/Supuestos!I4)/(A11-B11)/(1+A11)^Proyecciones!B12-Supuestos!$B$12+Supuestos!$B$13+Supuestos!$B$14-Supuestos!$B$15-Supuestos!$B$18)/Supuestos!$B$16*Supuestos!$B$17</f>
        <v>13.0797122869483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.71"/>
    <col collapsed="false" customWidth="true" hidden="false" outlineLevel="0" max="19" min="2" style="0" width="18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92</v>
      </c>
      <c r="B2" s="1" t="s">
        <v>93</v>
      </c>
      <c r="C2" s="1" t="s">
        <v>94</v>
      </c>
    </row>
    <row r="3" customFormat="false" ht="15" hidden="false" customHeight="false" outlineLevel="0" collapsed="false">
      <c r="A3" s="0" t="s">
        <v>95</v>
      </c>
      <c r="B3" s="2" t="n">
        <f aca="false">IF(COUNT(Historicos!G3:I3)=3,Historicos!G3-Historicos!H3-Historicos!I3,"N/D")</f>
        <v>0</v>
      </c>
      <c r="C3" s="0" t="s">
        <v>96</v>
      </c>
    </row>
    <row r="4" customFormat="false" ht="15" hidden="false" customHeight="false" outlineLevel="0" collapsed="false">
      <c r="A4" s="0" t="s">
        <v>97</v>
      </c>
      <c r="B4" s="2" t="n">
        <f aca="false">IF(COUNT(Historicos!G4:I4)=3,Historicos!G4-Historicos!H4-Historicos!I4,"N/D")</f>
        <v>0</v>
      </c>
      <c r="C4" s="0" t="s">
        <v>96</v>
      </c>
    </row>
    <row r="5" customFormat="false" ht="15" hidden="false" customHeight="false" outlineLevel="0" collapsed="false">
      <c r="A5" s="0" t="s">
        <v>98</v>
      </c>
      <c r="B5" s="2" t="n">
        <f aca="false">IF(COUNT(Historicos!G5:I5)=3,Historicos!G5-Historicos!H5-Historicos!I5,"N/D")</f>
        <v>0</v>
      </c>
      <c r="C5" s="0" t="s">
        <v>96</v>
      </c>
    </row>
    <row r="6" customFormat="false" ht="15" hidden="false" customHeight="false" outlineLevel="0" collapsed="false">
      <c r="A6" s="0" t="s">
        <v>99</v>
      </c>
      <c r="B6" s="2" t="n">
        <f aca="false">IF(COUNT(Historicos!G6:I6)=3,Historicos!G6-Historicos!H6-Historicos!I6,"N/D")</f>
        <v>0</v>
      </c>
      <c r="C6" s="0" t="s">
        <v>96</v>
      </c>
    </row>
    <row r="7" customFormat="false" ht="15" hidden="false" customHeight="false" outlineLevel="0" collapsed="false">
      <c r="A7" s="0" t="s">
        <v>100</v>
      </c>
      <c r="B7" s="2" t="n">
        <f aca="false">IF(COUNT(Historicos!G7:I7)=3,Historicos!G7-Historicos!H7-Historicos!I7,"N/D")</f>
        <v>0</v>
      </c>
      <c r="C7" s="0" t="s">
        <v>96</v>
      </c>
    </row>
    <row r="10" customFormat="false" ht="15" hidden="false" customHeight="false" outlineLevel="0" collapsed="false">
      <c r="A10" s="0" t="s">
        <v>101</v>
      </c>
      <c r="B10" s="4" t="b">
        <f aca="false">Supuestos!B9=Supuestos!B10</f>
        <v>1</v>
      </c>
    </row>
    <row r="12" customFormat="false" ht="15" hidden="false" customHeight="false" outlineLevel="0" collapsed="false">
      <c r="A12" s="0" t="s">
        <v>102</v>
      </c>
      <c r="B12" s="0" t="s">
        <v>103</v>
      </c>
    </row>
    <row r="14" customFormat="false" ht="15" hidden="false" customHeight="false" outlineLevel="0" collapsed="false">
      <c r="A14" s="0" t="s">
        <v>104</v>
      </c>
      <c r="B14" s="0" t="s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2026-10-07T20:53:17Z</dcterms:created>
  <dc:creator/>
  <dc:description/>
  <dc:language>en-US</dc:language>
  <cp:lastModifiedBy/>
  <dcterms:modified xsi:type="dcterms:W3CDTF">2026-10-07T20:53:17Z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